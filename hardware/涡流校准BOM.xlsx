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小螃蟹涡流线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<sst xmlns="http://schemas.openxmlformats.org/spreadsheetml/2006/main" count="32" uniqueCount="32">
  <si>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小螃蟹涡流校准XY偏移BOM</t>
  </si>
  <si>
    <t>物料</t>
  </si>
  <si>
    <t>数量</t>
  </si>
  <si>
    <t>单价</t>
  </si>
  <si>
    <t>总价</t>
  </si>
  <si>
    <t>说明</t>
  </si>
  <si>
    <t>购买链接</t>
  </si>
  <si>
    <t>电阻0603 4.7k</t>
  </si>
  <si>
    <t>I2C通信上拉电阻</t>
  </si>
  <si>
    <t>电阻0603 1k</t>
  </si>
  <si>
    <t>电容0603 10uf</t>
  </si>
  <si>
    <t>电容0603 100nf</t>
  </si>
  <si>
    <t>电容0603 470pf_±5%_50V_C0G</t>
  </si>
  <si>
    <t>线圈谐振电容,C0G 5%精度, 质量好坏直接决定性能</t>
  </si>
  <si>
    <t>https://item.taobao.com/item.htm?id=537669338432&amp;mi_id=0000zir-ol6z-nPJi0Raf962BPMizxeyzuuxCKI9R7H-Eaw&amp;skuId=5720849848260&amp;spm=tbpc.boughtlist.suborder_itemtitle.1.1f0b2e8dkptHtY</t>
  </si>
  <si>
    <t>0603 led</t>
  </si>
  <si>
    <t>SPX3819M5-L-3-3/TR</t>
  </si>
  <si>
    <t>LDO 3.3V</t>
  </si>
  <si>
    <t>https://item.taobao.com/item.htm?id=522554991270&amp;mi_id=0000XJD_B7ARlxKWF_KARx9v2Q3r3MKfdru-8-ffjfbnq7Q&amp;spm=tbpc.boughtlist.suborder_itemtitle.1.29a72e8daRrDVU</t>
  </si>
  <si>
    <t>LDC1612DNTT</t>
  </si>
  <si>
    <t>电感涡流探测芯片</t>
  </si>
  <si>
    <t>https://item.taobao.com/item.htm?id=854116159877&amp;mi_id=00006nFM43vwWH1UEh7RUzBfzizaZxULPuY_tOxIkowZ5xw&amp;spm=tbpc.boughtlist.suborder_itemtitle.1.29a72e8daRrDVU</t>
  </si>
  <si>
    <t>40M 有源晶振 3225封装</t>
  </si>
  <si>
    <t>LDC1612DNTT外部时钟 40Mhz</t>
  </si>
  <si>
    <t>https://item.taobao.com/item.htm?id=850608347965&amp;mi_id=0000AuG5IFVIoBC_MP1tCehydzU2tkb7-IxFCMtR02w7Hi4&amp;spm=tbpc.boughtlist.suborder_itemtitle.1.29a72e8daRrDVU&amp;skuId=5812328591962</t>
  </si>
  <si>
    <t>5mm10uH微型铜线圈</t>
  </si>
  <si>
    <t>谐振线圈</t>
  </si>
  <si>
    <t>https://item.taobao.com/item.htm?id=672559300783&amp;mi_id=0000J0G9pXDkb3rryQIA-E_uHP81nkVVFI_Iab_JQAfC9OY&amp;spm=tbpc.boughtlist.suborder_itemtitle.1.99142e8dBmZvHi</t>
  </si>
  <si>
    <t>1N5819W SOD-123</t>
  </si>
  <si>
    <t>热熔土八螺母M3*4*5</t>
  </si>
  <si>
    <t>固定螺丝</t>
  </si>
  <si>
    <t>端子XH2.54-4PIN 直针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</si>
</sst>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6" applyFont="1" applyBorder="1">
      <alignment vertical="center"/>
    </xf>
    <xf numFmtId="0" fontId="3" fillId="0" borderId="2" xfId="6" applyBorder="1">
      <alignment vertical="center"/>
    </xf>
    <xf numFmtId="0" fontId="4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id=672559300783&amp;mi_id=0000J0G9pXDkb3rryQIA-E_uHP81nkVVFI_Iab_JQAfC9OY&amp;spm=tbpc.boughtlist.suborder_itemtitle.1.99142e8dBmZvHi" TargetMode="External"/><Relationship Id="rId4" Type="http://schemas.openxmlformats.org/officeDocument/2006/relationships/hyperlink" Target="https://item.taobao.com/item.htm?id=537669338432&amp;mi_id=0000zir-ol6z-nPJi0Raf962BPMizxeyzuuxCKI9R7H-Eaw&amp;skuId=5720849848260&amp;spm=tbpc.boughtlist.suborder_itemtitle.1.1f0b2e8dkptHtY" TargetMode="External"/><Relationship Id="rId3" Type="http://schemas.openxmlformats.org/officeDocument/2006/relationships/hyperlink" Target="https://item.taobao.com/item.htm?id=854116159877&amp;mi_id=00006nFM43vwWH1UEh7RUzBfzizaZxULPuY_tOxIkowZ5xw&amp;spm=tbpc.boughtlist.suborder_itemtitle.1.29a72e8daRrDVU" TargetMode="External"/><Relationship Id="rId2" Type="http://schemas.openxmlformats.org/officeDocument/2006/relationships/hyperlink" Target="https://item.taobao.com/item.htm?id=522554991270&amp;mi_id=0000XJD_B7ARlxKWF_KARx9v2Q3r3MKfdru-8-ffjfbnq7Q&amp;spm=tbpc.boughtlist.suborder_itemtitle.1.29a72e8daRrDVU" TargetMode="External"/><Relationship Id="rId1" Type="http://schemas.openxmlformats.org/officeDocument/2006/relationships/hyperlink" Target="https://item.taobao.com/item.htm?id=850608347965&amp;mi_id=0000AuG5IFVIoBC_MP1tCehydzU2tkb7-IxFCMtR02w7Hi4&amp;spm=tbpc.boughtlist.suborder_itemtitle.1.29a72e8daRrDVU&amp;skuId=5812328591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45" zoomScaleNormal="145" workbookViewId="0">
      <selection activeCell="E9" sqref="E9"/>
    </sheetView>
  </sheetViews>
  <sheetFormatPr defaultColWidth="8.72727272727273" defaultRowHeight="14" outlineLevelCol="5"/>
  <cols>
    <col min="1" max="1" width="31.6727272727273" customWidth="1"/>
    <col min="2" max="2" width="8.19090909090909" customWidth="1"/>
    <col min="3" max="3" width="9.63636363636364" customWidth="1"/>
    <col min="4" max="4" width="9.31818181818182" customWidth="1"/>
    <col min="5" max="5" width="50.0090909090909" customWidth="1"/>
    <col min="6" max="6" width="187.3" customWidth="1"/>
  </cols>
  <sheetData>
    <row r="1" ht="19" customHeight="1" spans="1:6">
      <c r="A1" s="1" t="s">
        <v>0</v>
      </c>
      <c r="B1" s="2"/>
      <c r="C1" s="2"/>
      <c r="D1" s="2"/>
      <c r="E1" s="2"/>
      <c r="F1" s="3"/>
    </row>
    <row r="2" ht="20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customHeight="1" spans="1:6">
      <c r="A3" s="6" t="s">
        <v>7</v>
      </c>
      <c r="B3" s="6">
        <v>4</v>
      </c>
      <c r="C3" s="6">
        <v>0.02</v>
      </c>
      <c r="D3" s="6">
        <f t="shared" ref="D3:D15" si="0">B3*C3</f>
        <v>0.08</v>
      </c>
      <c r="E3" s="6" t="s">
        <v>8</v>
      </c>
      <c r="F3" s="6"/>
    </row>
    <row r="4" customFormat="1" ht="15" customHeight="1" spans="1:6">
      <c r="A4" s="6" t="s">
        <v>9</v>
      </c>
      <c r="B4" s="6">
        <v>2</v>
      </c>
      <c r="C4" s="6">
        <v>0.02</v>
      </c>
      <c r="D4" s="6">
        <f t="shared" si="0"/>
        <v>0.04</v>
      </c>
      <c r="E4" s="6"/>
      <c r="F4" s="6"/>
    </row>
    <row r="5" customFormat="1" spans="1:6">
      <c r="A5" s="6" t="s">
        <v>10</v>
      </c>
      <c r="B5" s="6">
        <v>4</v>
      </c>
      <c r="C5" s="6">
        <v>0.03</v>
      </c>
      <c r="D5" s="6">
        <f t="shared" si="0"/>
        <v>0.12</v>
      </c>
      <c r="E5" s="6"/>
      <c r="F5" s="6"/>
    </row>
    <row r="6" customFormat="1" spans="1:6">
      <c r="A6" s="6" t="s">
        <v>11</v>
      </c>
      <c r="B6" s="6">
        <v>2</v>
      </c>
      <c r="C6" s="6">
        <v>0.02</v>
      </c>
      <c r="D6" s="6">
        <f t="shared" si="0"/>
        <v>0.04</v>
      </c>
      <c r="E6" s="6"/>
      <c r="F6" s="6"/>
    </row>
    <row r="7" customFormat="1" spans="1:6">
      <c r="A7" s="6" t="s">
        <v>12</v>
      </c>
      <c r="B7" s="6">
        <v>1</v>
      </c>
      <c r="C7" s="6">
        <v>0.04</v>
      </c>
      <c r="D7" s="6">
        <f t="shared" si="0"/>
        <v>0.04</v>
      </c>
      <c r="E7" s="6" t="s">
        <v>13</v>
      </c>
      <c r="F7" s="7" t="s">
        <v>14</v>
      </c>
    </row>
    <row r="8" spans="1:6">
      <c r="A8" s="6" t="s">
        <v>15</v>
      </c>
      <c r="B8" s="6">
        <v>1</v>
      </c>
      <c r="C8" s="6">
        <v>0.04</v>
      </c>
      <c r="D8" s="6">
        <f t="shared" si="0"/>
        <v>0.04</v>
      </c>
      <c r="E8" s="6"/>
      <c r="F8" s="6"/>
    </row>
    <row r="9" ht="16" customHeight="1" spans="1:6">
      <c r="A9" s="6" t="s">
        <v>16</v>
      </c>
      <c r="B9" s="6">
        <v>1</v>
      </c>
      <c r="C9" s="6">
        <v>0.68</v>
      </c>
      <c r="D9" s="6">
        <f t="shared" si="0"/>
        <v>0.68</v>
      </c>
      <c r="E9" s="6" t="s">
        <v>17</v>
      </c>
      <c r="F9" s="8" t="s">
        <v>18</v>
      </c>
    </row>
    <row r="10" ht="15" customHeight="1" spans="1:6">
      <c r="A10" s="9" t="s">
        <v>19</v>
      </c>
      <c r="B10" s="9">
        <v>1</v>
      </c>
      <c r="C10" s="9">
        <v>4.2</v>
      </c>
      <c r="D10" s="9">
        <f t="shared" si="0"/>
        <v>4.2</v>
      </c>
      <c r="E10" s="9" t="s">
        <v>20</v>
      </c>
      <c r="F10" s="7" t="s">
        <v>21</v>
      </c>
    </row>
    <row r="11" ht="15" customHeight="1" spans="1:6">
      <c r="A11" s="9" t="s">
        <v>22</v>
      </c>
      <c r="B11" s="9">
        <v>1</v>
      </c>
      <c r="C11" s="9">
        <v>0.58</v>
      </c>
      <c r="D11" s="9">
        <f t="shared" si="0"/>
        <v>0.58</v>
      </c>
      <c r="E11" s="9" t="s">
        <v>23</v>
      </c>
      <c r="F11" s="7" t="s">
        <v>24</v>
      </c>
    </row>
    <row r="12" spans="1:6">
      <c r="A12" s="9" t="s">
        <v>25</v>
      </c>
      <c r="B12" s="9">
        <v>1</v>
      </c>
      <c r="C12" s="9">
        <v>1.5</v>
      </c>
      <c r="D12" s="9">
        <f t="shared" si="0"/>
        <v>1.5</v>
      </c>
      <c r="E12" s="9" t="s">
        <v>26</v>
      </c>
      <c r="F12" s="7" t="s">
        <v>27</v>
      </c>
    </row>
    <row r="13" spans="1:6">
      <c r="A13" s="9" t="s">
        <v>28</v>
      </c>
      <c r="B13" s="9">
        <v>1</v>
      </c>
      <c r="C13" s="9">
        <v>0.05</v>
      </c>
      <c r="D13" s="9">
        <f t="shared" si="0"/>
        <v>0.05</v>
      </c>
      <c r="E13" s="9"/>
      <c r="F13" s="8"/>
    </row>
    <row r="14" spans="1:6">
      <c r="A14" s="9" t="s">
        <v>29</v>
      </c>
      <c r="B14" s="9">
        <v>2</v>
      </c>
      <c r="C14" s="9">
        <v>0.09</v>
      </c>
      <c r="D14" s="9">
        <f t="shared" si="0"/>
        <v>0.18</v>
      </c>
      <c r="E14" s="9" t="s">
        <v>30</v>
      </c>
      <c r="F14" s="8"/>
    </row>
    <row r="15" spans="1:6">
      <c r="A15" s="6" t="s">
        <v>31</v>
      </c>
      <c r="B15" s="6">
        <v>1</v>
      </c>
      <c r="C15" s="6">
        <v>0.05</v>
      </c>
      <c r="D15" s="6">
        <f t="shared" si="0"/>
        <v>0.05</v>
      </c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>
        <f>SUM(D3:D15)</f>
        <v>7.6</v>
      </c>
      <c r="E17" s="6"/>
      <c r="F17" s="6"/>
    </row>
  </sheetData>
  <mergeCells count="1">
    <mergeCell ref="A1:E1"/>
  </mergeCells>
  <hyperlinks>
    <hyperlink ref="F11" r:id="rId1" display="https://item.taobao.com/item.htm?id=850608347965&amp;mi_id=0000AuG5IFVIoBC_MP1tCehydzU2tkb7-IxFCMtR02w7Hi4&amp;spm=tbpc.boughtlist.suborder_itemtitle.1.29a72e8daRrDVU&amp;skuId=5812328591962" tooltip="https://item.taobao.com/item.htm?id=850608347965&amp;mi_id=0000AuG5IFVIoBC_MP1tCehydzU2tkb7-IxFCMtR02w7Hi4&amp;spm=tbpc.boughtlist.suborder_itemtitle.1.29a72e8daRrDVU&amp;skuId=5812328591962"/>
    <hyperlink ref="F9" r:id="rId2" display="https://item.taobao.com/item.htm?id=522554991270&amp;mi_id=0000XJD_B7ARlxKWF_KARx9v2Q3r3MKfdru-8-ffjfbnq7Q&amp;spm=tbpc.boughtlist.suborder_itemtitle.1.29a72e8daRrDVU" tooltip="https://item.taobao.com/item.htm?id=522554991270&amp;mi_id=0000XJD_B7ARlxKWF_KARx9v2Q3r3MKfdru-8-ffjfbnq7Q&amp;spm=tbpc.boughtlist.suborder_itemtitle.1.29a72e8daRrDVU"/>
    <hyperlink ref="F10" r:id="rId3" display="https://item.taobao.com/item.htm?id=854116159877&amp;mi_id=00006nFM43vwWH1UEh7RUzBfzizaZxULPuY_tOxIkowZ5xw&amp;spm=tbpc.boughtlist.suborder_itemtitle.1.29a72e8daRrDVU" tooltip="https://item.taobao.com/item.htm?id=854116159877&amp;mi_id=00006nFM43vwWH1UEh7RUzBfzizaZxULPuY_tOxIkowZ5xw&amp;spm=tbpc.boughtlist.suborder_itemtitle.1.29a72e8daRrDVU"/>
    <hyperlink ref="F7" r:id="rId4" display="https://item.taobao.com/item.htm?id=537669338432&amp;mi_id=0000zir-ol6z-nPJi0Raf962BPMizxeyzuuxCKI9R7H-Eaw&amp;skuId=5720849848260&amp;spm=tbpc.boughtlist.suborder_itemtitle.1.1f0b2e8dkptHtY"/>
    <hyperlink ref="F12" r:id="rId5" display="https://item.taobao.com/item.htm?id=672559300783&amp;mi_id=0000J0G9pXDkb3rryQIA-E_uHP81nkVVFI_Iab_JQAfC9OY&amp;spm=tbpc.boughtlist.suborder_itemtitle.1.99142e8dBmZvH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小螃蟹涡流线圈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24960</dc:creator>
  <cp:lastModifiedBy>▼中国之声▼</cp:lastModifiedBy>
  <dcterms:created xsi:type="dcterms:W3CDTF">2024-08-25T06:06:00Z</dcterms:created>
  <dcterms:modified xsi:type="dcterms:W3CDTF">2026-06-03T01:41:09Z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BE2994DDD5264DA6A80EC757CE0629AA_13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